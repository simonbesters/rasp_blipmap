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5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<sst xmlns="http://schemas.openxmlformats.org/spreadsheetml/2006/main" count="23" uniqueCount="18">
  <si>
    <t xml:space="preserve">type</t>
  </si>
  <si>
    <t xml:space="preserve">data</t>
  </si>
  <si>
    <t xml:space="preserve">available</t>
  </si>
  <si>
    <t xml:space="preserve">to LT</t>
  </si>
  <si>
    <t xml:space="preserve">duur van run</t>
  </si>
  <si>
    <t xml:space="preserve">run</t>
  </si>
  <si>
    <t xml:space="preserve">klaar</t>
  </si>
  <si>
    <t xml:space="preserve">tijd over</t>
  </si>
  <si>
    <t xml:space="preserve">timezone</t>
  </si>
  <si>
    <t xml:space="preserve">Z</t>
  </si>
  <si>
    <t xml:space="preserve">LT</t>
  </si>
  <si>
    <t xml:space="preserve">NL.0</t>
  </si>
  <si>
    <t xml:space="preserve">NL1kM.0</t>
  </si>
  <si>
    <t xml:space="preserve">NL.1</t>
  </si>
  <si>
    <t xml:space="preserve">NL.2</t>
  </si>
  <si>
    <t xml:space="preserve">NL.3</t>
  </si>
  <si>
    <t xml:space="preserve">NL.4</t>
  </si>
  <si>
    <t xml:space="preserve">NL1KM.1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</si>
</sst>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HH:MM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T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RowHeight="12.8"/>
  <cols>
    <col collapsed="false" hidden="false" max="1" min="1" style="0" width="13.6326530612245"/>
    <col collapsed="false" hidden="false" max="2" min="2" style="0" width="8.50510204081633"/>
    <col collapsed="false" hidden="false" max="3" min="3" style="0" width="7.96428571428571"/>
    <col collapsed="false" hidden="false" max="4" min="4" style="0" width="8.50510204081633"/>
    <col collapsed="false" hidden="false" max="5" min="5" style="0" width="12.8265306122449"/>
    <col collapsed="false" hidden="false" max="10" min="6" style="0" width="8.50510204081633"/>
    <col collapsed="false" hidden="false" max="11" min="11" style="0" width="8.18877551020408"/>
    <col collapsed="false" hidden="false" max="12" min="12" style="0" width="7.1530612244898"/>
    <col collapsed="false" hidden="false" max="1025" min="13" style="0" width="8.50510204081633"/>
  </cols>
  <sheetData>
    <row r="4" customFormat="false" ht="12.8" hidden="false" customHeight="false" outlineLevel="0" collapsed="false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/>
      <c r="H4" s="2"/>
      <c r="I4" s="2"/>
      <c r="J4" s="2"/>
      <c r="K4" s="2"/>
      <c r="L4" s="1" t="s">
        <v>6</v>
      </c>
      <c r="M4" s="1" t="s">
        <v>7</v>
      </c>
    </row>
    <row r="5" customFormat="false" ht="12.8" hidden="false" customHeight="false" outlineLevel="0" collapsed="false">
      <c r="A5" s="1" t="s">
        <v>8</v>
      </c>
      <c r="B5" s="2" t="s">
        <v>9</v>
      </c>
      <c r="C5" s="2" t="s">
        <v>9</v>
      </c>
      <c r="D5" s="2" t="s">
        <v>10</v>
      </c>
      <c r="E5" s="3"/>
      <c r="F5" s="2" t="s">
        <v>10</v>
      </c>
      <c r="G5" s="2"/>
      <c r="H5" s="2"/>
      <c r="I5" s="2"/>
      <c r="J5" s="2"/>
      <c r="K5" s="2"/>
      <c r="L5" s="1"/>
    </row>
    <row r="6" customFormat="false" ht="12.8" hidden="false" customHeight="false" outlineLevel="0" collapsed="false">
      <c r="B6" s="4" t="n">
        <v>0</v>
      </c>
      <c r="C6" s="4" t="n">
        <f aca="false">B6+3.754/24</f>
        <v>0.156416666666667</v>
      </c>
      <c r="D6" s="4" t="n">
        <f aca="false">C6+2/24</f>
        <v>0.23975</v>
      </c>
      <c r="E6" s="5" t="n">
        <f aca="false">5*0.33+3.33</f>
        <v>4.98</v>
      </c>
      <c r="F6" s="4" t="s">
        <v>11</v>
      </c>
      <c r="G6" s="0" t="s">
        <v>12</v>
      </c>
      <c r="H6" s="0" t="s">
        <v>13</v>
      </c>
      <c r="I6" s="4" t="s">
        <v>14</v>
      </c>
      <c r="J6" s="4" t="s">
        <v>15</v>
      </c>
      <c r="K6" s="4" t="s">
        <v>16</v>
      </c>
      <c r="L6" s="6" t="n">
        <f aca="false">D6+E6/24</f>
        <v>0.44725</v>
      </c>
      <c r="M6" s="6" t="n">
        <f aca="false">D8-L6</f>
        <v>0.0424999999999999</v>
      </c>
      <c r="N6" s="6"/>
      <c r="O6" s="6"/>
      <c r="P6" s="6"/>
      <c r="Q6" s="6"/>
      <c r="R6" s="6"/>
      <c r="S6" s="6"/>
      <c r="T6" s="6"/>
    </row>
    <row r="7" customFormat="false" ht="12.8" hidden="false" customHeight="false" outlineLevel="0" collapsed="false">
      <c r="B7" s="4"/>
      <c r="C7" s="4"/>
      <c r="D7" s="4"/>
      <c r="E7" s="5"/>
      <c r="F7" s="4"/>
      <c r="G7" s="4"/>
      <c r="H7" s="4"/>
      <c r="I7" s="4"/>
      <c r="J7" s="4"/>
      <c r="K7" s="4"/>
      <c r="L7" s="6"/>
      <c r="M7" s="6"/>
      <c r="N7" s="6"/>
      <c r="O7" s="6"/>
      <c r="P7" s="6"/>
      <c r="Q7" s="6"/>
      <c r="R7" s="6"/>
      <c r="S7" s="6"/>
      <c r="T7" s="6"/>
    </row>
    <row r="8" customFormat="false" ht="12.8" hidden="false" customHeight="false" outlineLevel="0" collapsed="false">
      <c r="B8" s="4" t="n">
        <v>0.25</v>
      </c>
      <c r="C8" s="4" t="n">
        <f aca="false">B8+3.754/24</f>
        <v>0.406416666666667</v>
      </c>
      <c r="D8" s="4" t="n">
        <f aca="false">C8+2/24</f>
        <v>0.48975</v>
      </c>
      <c r="E8" s="5" t="n">
        <f aca="false">3.33+0.33</f>
        <v>3.66</v>
      </c>
      <c r="F8" s="4" t="s">
        <v>11</v>
      </c>
      <c r="G8" s="0" t="s">
        <v>17</v>
      </c>
      <c r="L8" s="6" t="n">
        <f aca="false">D8+E8/24</f>
        <v>0.64225</v>
      </c>
      <c r="M8" s="6" t="n">
        <f aca="false">D10-L8</f>
        <v>0.0975</v>
      </c>
      <c r="N8" s="6"/>
      <c r="O8" s="6"/>
      <c r="P8" s="6"/>
      <c r="Q8" s="6"/>
      <c r="R8" s="6"/>
      <c r="S8" s="6"/>
      <c r="T8" s="6"/>
    </row>
    <row r="9" customFormat="false" ht="12.8" hidden="false" customHeight="false" outlineLevel="0" collapsed="false">
      <c r="B9" s="4"/>
      <c r="C9" s="4"/>
      <c r="D9" s="4"/>
      <c r="E9" s="5"/>
      <c r="F9" s="4"/>
      <c r="G9" s="4"/>
      <c r="H9" s="4"/>
      <c r="I9" s="4"/>
      <c r="J9" s="4"/>
      <c r="K9" s="4"/>
      <c r="L9" s="6"/>
      <c r="M9" s="6"/>
      <c r="N9" s="6"/>
      <c r="O9" s="6"/>
      <c r="P9" s="6"/>
      <c r="Q9" s="6"/>
      <c r="R9" s="6"/>
      <c r="S9" s="6"/>
      <c r="T9" s="6"/>
    </row>
    <row r="10" customFormat="false" ht="12.8" hidden="false" customHeight="false" outlineLevel="0" collapsed="false">
      <c r="B10" s="4" t="n">
        <v>0.5</v>
      </c>
      <c r="C10" s="4" t="n">
        <f aca="false">B10+3.754/24</f>
        <v>0.656416666666667</v>
      </c>
      <c r="D10" s="4" t="n">
        <f aca="false">C10+2/24</f>
        <v>0.73975</v>
      </c>
      <c r="E10" s="5" t="n">
        <f aca="false">0.33</f>
        <v>0.33</v>
      </c>
      <c r="F10" s="4" t="s">
        <v>13</v>
      </c>
      <c r="G10" s="4"/>
      <c r="H10" s="4"/>
      <c r="I10" s="4"/>
      <c r="J10" s="4"/>
      <c r="K10" s="4"/>
      <c r="L10" s="6" t="n">
        <f aca="false">D10+E10/24</f>
        <v>0.7535</v>
      </c>
      <c r="M10" s="6" t="n">
        <f aca="false">D12-L10</f>
        <v>0.23625</v>
      </c>
      <c r="N10" s="6"/>
      <c r="O10" s="6"/>
      <c r="P10" s="6"/>
      <c r="Q10" s="6"/>
      <c r="R10" s="6"/>
      <c r="S10" s="6"/>
      <c r="T10" s="6"/>
    </row>
    <row r="11" customFormat="false" ht="12.8" hidden="false" customHeight="false" outlineLevel="0" collapsed="false">
      <c r="B11" s="4"/>
      <c r="C11" s="4"/>
      <c r="D11" s="4"/>
      <c r="E11" s="5"/>
      <c r="F11" s="4"/>
      <c r="G11" s="4"/>
      <c r="H11" s="4"/>
      <c r="I11" s="4"/>
      <c r="J11" s="4"/>
      <c r="K11" s="4"/>
      <c r="L11" s="6"/>
      <c r="M11" s="6"/>
      <c r="N11" s="6"/>
      <c r="O11" s="6"/>
      <c r="P11" s="6"/>
      <c r="Q11" s="6"/>
      <c r="R11" s="6"/>
      <c r="S11" s="6"/>
      <c r="T11" s="6"/>
    </row>
    <row r="12" customFormat="false" ht="12.8" hidden="false" customHeight="false" outlineLevel="0" collapsed="false">
      <c r="B12" s="4" t="n">
        <v>0.75</v>
      </c>
      <c r="C12" s="4" t="n">
        <f aca="false">B12+3.754/24</f>
        <v>0.906416666666667</v>
      </c>
      <c r="D12" s="4" t="n">
        <f aca="false">C12+2/24</f>
        <v>0.98975</v>
      </c>
      <c r="E12" s="5" t="n">
        <v>3.33</v>
      </c>
      <c r="F12" s="4" t="s">
        <v>17</v>
      </c>
      <c r="G12" s="4"/>
      <c r="H12" s="4"/>
      <c r="I12" s="4"/>
      <c r="J12" s="4"/>
      <c r="K12" s="4"/>
      <c r="L12" s="6" t="n">
        <f aca="false">D12+E12/24</f>
        <v>1.1285</v>
      </c>
      <c r="M12" s="6" t="n">
        <f aca="false">D6-L12</f>
        <v>-0.88875</v>
      </c>
      <c r="N12" s="6"/>
      <c r="O12" s="6"/>
      <c r="P12" s="6"/>
      <c r="Q12" s="6"/>
      <c r="R12" s="6"/>
      <c r="S12" s="6"/>
      <c r="T12" s="6"/>
    </row>
    <row r="13" customFormat="false" ht="12.8" hidden="false" customHeight="false" outlineLevel="0" collapsed="false">
      <c r="B13" s="4"/>
      <c r="C13" s="4"/>
      <c r="D13" s="4"/>
      <c r="E13" s="5"/>
      <c r="F13" s="4"/>
      <c r="G13" s="4"/>
      <c r="H13" s="4"/>
      <c r="I13" s="4"/>
      <c r="J13" s="4"/>
      <c r="K13" s="4"/>
      <c r="L13" s="6"/>
      <c r="M13" s="6"/>
      <c r="N13" s="6"/>
      <c r="O13" s="6"/>
      <c r="P13" s="6"/>
      <c r="Q13" s="6"/>
      <c r="R13" s="6"/>
      <c r="S13" s="6"/>
      <c r="T13" s="6"/>
    </row>
    <row r="14" customFormat="false" ht="12.8" hidden="false" customHeight="false" outlineLevel="0" collapsed="false">
      <c r="B14" s="4"/>
      <c r="C14" s="4"/>
      <c r="D14" s="4"/>
      <c r="E14" s="7" t="n">
        <f aca="false">SUM(E6:E12)</f>
        <v>12.3</v>
      </c>
      <c r="F14" s="4"/>
      <c r="G14" s="4"/>
      <c r="H14" s="4"/>
      <c r="I14" s="4"/>
      <c r="J14" s="4"/>
      <c r="K14" s="4"/>
      <c r="L14" s="6"/>
      <c r="M14" s="6"/>
      <c r="N14" s="6"/>
      <c r="O14" s="6"/>
      <c r="P14" s="6"/>
      <c r="Q14" s="6"/>
      <c r="R14" s="6"/>
      <c r="S14" s="6"/>
      <c r="T14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2020-01-31T18:52:23Z</dcterms:created>
  <dc:creator>davidh </dc:creator>
  <dc:description/>
  <dc:language>en-US</dc:language>
  <cp:lastModifiedBy>davidh </cp:lastModifiedBy>
  <dcterms:modified xsi:type="dcterms:W3CDTF">2020-02-08T14:59:31Z</dcterms:modified>
  <cp:revision>3</cp:revision>
  <dc:subject/>
  <dc:title/>
</cp:coreProperties>
</file>